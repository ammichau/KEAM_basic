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AMM03\Desktop\KEAM\Matlab\Output\"/>
    </mc:Choice>
  </mc:AlternateContent>
  <bookViews>
    <workbookView xWindow="0" yWindow="0" windowWidth="13395" windowHeight="7590" activeTab="2"/>
  </bookViews>
  <sheets>
    <sheet name="Careers" sheetId="1" r:id="rId1"/>
    <sheet name="Targets" sheetId="2" r:id="rId2"/>
    <sheet name="Cyc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3" l="1"/>
  <c r="D18" i="3"/>
  <c r="E18" i="3"/>
  <c r="F18" i="3"/>
  <c r="B18" i="3"/>
  <c r="C12" i="3"/>
  <c r="D12" i="3"/>
  <c r="E12" i="3"/>
  <c r="F12" i="3"/>
  <c r="B12" i="3"/>
  <c r="F16" i="3"/>
  <c r="F17" i="3"/>
  <c r="F15" i="3"/>
  <c r="E16" i="3"/>
  <c r="E17" i="3"/>
  <c r="E15" i="3"/>
  <c r="D16" i="3"/>
  <c r="D17" i="3"/>
  <c r="D15" i="3"/>
  <c r="C16" i="3"/>
  <c r="C17" i="3"/>
  <c r="C15" i="3"/>
  <c r="B16" i="3"/>
  <c r="B17" i="3"/>
  <c r="B15" i="3"/>
  <c r="F9" i="3"/>
  <c r="E9" i="3"/>
  <c r="D9" i="3"/>
  <c r="C9" i="3"/>
  <c r="B9" i="3"/>
  <c r="F10" i="3"/>
  <c r="E10" i="3"/>
  <c r="D10" i="3"/>
  <c r="C10" i="3"/>
  <c r="B10" i="3"/>
  <c r="F11" i="3"/>
  <c r="E11" i="3"/>
  <c r="D11" i="3"/>
  <c r="C11" i="3"/>
  <c r="B11" i="3"/>
  <c r="K4" i="2"/>
  <c r="J4" i="2"/>
  <c r="I4" i="2"/>
  <c r="H4" i="2"/>
  <c r="G4" i="2"/>
  <c r="F4" i="2"/>
  <c r="E4" i="2"/>
  <c r="D4" i="2"/>
</calcChain>
</file>

<file path=xl/sharedStrings.xml><?xml version="1.0" encoding="utf-8"?>
<sst xmlns="http://schemas.openxmlformats.org/spreadsheetml/2006/main" count="51" uniqueCount="17">
  <si>
    <t>Model</t>
  </si>
  <si>
    <t>Data</t>
  </si>
  <si>
    <t>Part-Time</t>
  </si>
  <si>
    <t>Life-cycle</t>
  </si>
  <si>
    <t>Career</t>
  </si>
  <si>
    <t>Mostly NiLF</t>
  </si>
  <si>
    <t>Employment Rate</t>
  </si>
  <si>
    <t>Wage Gap w/in Married Couple</t>
  </si>
  <si>
    <t>Returns to Experience, gamma_e</t>
  </si>
  <si>
    <t>cost of work rel to 1940</t>
  </si>
  <si>
    <t>E to non E</t>
  </si>
  <si>
    <t>Quits</t>
  </si>
  <si>
    <t>Recession</t>
  </si>
  <si>
    <t>Expansion</t>
  </si>
  <si>
    <t>Wife's Share of Income</t>
  </si>
  <si>
    <t>Change in Recession</t>
  </si>
  <si>
    <t>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</si>
</sst>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K13" sqref="K13"/>
    </sheetView>
  </sheetViews>
  <sheetFormatPr defaultRowHeight="15" x14ac:dyDescent="0.25"/>
  <sheetData>
    <row r="1" spans="1:10" x14ac:dyDescent="0.25">
      <c r="B1" s="1">
        <v>1940</v>
      </c>
      <c r="C1" s="1"/>
      <c r="D1" s="1">
        <v>1950</v>
      </c>
      <c r="E1" s="1"/>
      <c r="F1" s="1">
        <v>1960</v>
      </c>
      <c r="G1" s="1"/>
      <c r="H1" s="1">
        <v>1970</v>
      </c>
      <c r="I1" s="1"/>
      <c r="J1">
        <v>1980</v>
      </c>
    </row>
    <row r="2" spans="1:10" x14ac:dyDescent="0.25">
      <c r="B2" t="s">
        <v>0</v>
      </c>
      <c r="C2" t="s">
        <v>1</v>
      </c>
      <c r="D2" t="s">
        <v>0</v>
      </c>
      <c r="E2" t="s">
        <v>1</v>
      </c>
      <c r="F2" t="s">
        <v>0</v>
      </c>
      <c r="G2" t="s">
        <v>1</v>
      </c>
      <c r="H2" t="s">
        <v>0</v>
      </c>
      <c r="I2" t="s">
        <v>1</v>
      </c>
      <c r="J2" t="s">
        <v>0</v>
      </c>
    </row>
    <row r="3" spans="1:10" x14ac:dyDescent="0.25">
      <c r="A3" t="s">
        <v>2</v>
      </c>
      <c r="B3">
        <v>0.24458551157580283</v>
      </c>
      <c r="C3">
        <v>0.28000000000000003</v>
      </c>
      <c r="D3">
        <v>0.23419354838709677</v>
      </c>
      <c r="E3">
        <v>0.3</v>
      </c>
      <c r="F3">
        <v>0.26197345643392961</v>
      </c>
      <c r="G3">
        <v>0.3</v>
      </c>
      <c r="H3">
        <v>0.22307435811937312</v>
      </c>
      <c r="J3">
        <v>0.17699999999999999</v>
      </c>
    </row>
    <row r="4" spans="1:10" x14ac:dyDescent="0.25">
      <c r="A4" t="s">
        <v>3</v>
      </c>
      <c r="B4">
        <v>0.33084391336818519</v>
      </c>
      <c r="C4">
        <v>0.31</v>
      </c>
      <c r="D4">
        <v>0.32870967741935486</v>
      </c>
      <c r="E4">
        <v>0.18</v>
      </c>
      <c r="F4">
        <v>0.14368147720715521</v>
      </c>
      <c r="G4">
        <v>0.12</v>
      </c>
      <c r="H4">
        <v>0.20273424474824941</v>
      </c>
      <c r="J4">
        <v>0.26500000000000001</v>
      </c>
    </row>
    <row r="5" spans="1:10" x14ac:dyDescent="0.25">
      <c r="A5" t="s">
        <v>4</v>
      </c>
      <c r="B5">
        <v>0.16654219566840925</v>
      </c>
      <c r="C5">
        <v>0.19</v>
      </c>
      <c r="D5">
        <v>0.26580645161290323</v>
      </c>
      <c r="E5">
        <v>0.28000000000000003</v>
      </c>
      <c r="F5">
        <v>0.40161569532602426</v>
      </c>
      <c r="G5">
        <v>0.4</v>
      </c>
      <c r="H5">
        <v>0.37512504168056021</v>
      </c>
      <c r="J5">
        <v>0.36699999999999999</v>
      </c>
    </row>
    <row r="6" spans="1:10" x14ac:dyDescent="0.25">
      <c r="A6" t="s">
        <v>5</v>
      </c>
      <c r="B6">
        <v>0.2580283793876027</v>
      </c>
      <c r="C6">
        <v>0.22</v>
      </c>
      <c r="D6">
        <v>0.17129032258064517</v>
      </c>
      <c r="E6">
        <v>0.17</v>
      </c>
      <c r="F6">
        <v>0.19272937103289095</v>
      </c>
      <c r="G6">
        <v>0.19</v>
      </c>
      <c r="H6">
        <v>0.19906635545181728</v>
      </c>
      <c r="J6">
        <v>0.191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K2" sqref="A1:K2"/>
    </sheetView>
  </sheetViews>
  <sheetFormatPr defaultRowHeight="15" x14ac:dyDescent="0.25"/>
  <cols>
    <col min="1" max="1" width="20.140625" customWidth="1"/>
  </cols>
  <sheetData>
    <row r="1" spans="1:11" x14ac:dyDescent="0.25">
      <c r="B1" s="1">
        <v>1940</v>
      </c>
      <c r="C1" s="1"/>
      <c r="D1" s="1">
        <v>1950</v>
      </c>
      <c r="E1" s="1"/>
      <c r="F1" s="1">
        <v>1960</v>
      </c>
      <c r="G1" s="1"/>
      <c r="H1" s="1">
        <v>1970</v>
      </c>
      <c r="I1" s="1"/>
      <c r="J1">
        <v>1980</v>
      </c>
    </row>
    <row r="2" spans="1:11" x14ac:dyDescent="0.25">
      <c r="B2" t="s">
        <v>0</v>
      </c>
      <c r="C2" t="s">
        <v>1</v>
      </c>
      <c r="D2" t="s">
        <v>0</v>
      </c>
      <c r="E2" t="s">
        <v>1</v>
      </c>
      <c r="F2" t="s">
        <v>0</v>
      </c>
      <c r="G2" t="s">
        <v>1</v>
      </c>
      <c r="H2" t="s">
        <v>0</v>
      </c>
      <c r="I2" t="s">
        <v>1</v>
      </c>
      <c r="J2" t="s">
        <v>0</v>
      </c>
      <c r="K2" t="s">
        <v>1</v>
      </c>
    </row>
    <row r="3" spans="1:11" x14ac:dyDescent="0.25">
      <c r="A3" t="s">
        <v>7</v>
      </c>
      <c r="B3">
        <v>0.71</v>
      </c>
      <c r="C3">
        <v>0.71</v>
      </c>
      <c r="D3">
        <v>0.74</v>
      </c>
      <c r="E3">
        <v>0.74</v>
      </c>
      <c r="F3">
        <v>0.77</v>
      </c>
      <c r="G3">
        <v>0.77</v>
      </c>
      <c r="H3">
        <v>0.76</v>
      </c>
      <c r="I3">
        <v>0.76</v>
      </c>
      <c r="J3">
        <v>0.77</v>
      </c>
      <c r="K3">
        <v>0.77</v>
      </c>
    </row>
    <row r="4" spans="1:11" x14ac:dyDescent="0.25">
      <c r="A4" t="s">
        <v>8</v>
      </c>
      <c r="B4">
        <v>0.5</v>
      </c>
      <c r="C4">
        <v>0.5</v>
      </c>
      <c r="D4">
        <f>$B$4*1.095</f>
        <v>0.54749999999999999</v>
      </c>
      <c r="E4">
        <f t="shared" ref="E4:K4" si="0">$B$4*1.095</f>
        <v>0.54749999999999999</v>
      </c>
      <c r="F4">
        <f>$B$4*1.15</f>
        <v>0.57499999999999996</v>
      </c>
      <c r="G4">
        <f>$B$4*1.15</f>
        <v>0.57499999999999996</v>
      </c>
      <c r="H4">
        <f>$B$4*1.35</f>
        <v>0.67500000000000004</v>
      </c>
      <c r="I4">
        <f>$B$4*1.35</f>
        <v>0.67500000000000004</v>
      </c>
      <c r="J4">
        <f>$B$4*1.37</f>
        <v>0.68500000000000005</v>
      </c>
      <c r="K4">
        <f>$B$4*1.37</f>
        <v>0.68500000000000005</v>
      </c>
    </row>
    <row r="5" spans="1:11" x14ac:dyDescent="0.25">
      <c r="A5" t="s">
        <v>6</v>
      </c>
      <c r="B5">
        <v>0.67</v>
      </c>
      <c r="C5">
        <v>0.67</v>
      </c>
      <c r="D5">
        <v>0.7</v>
      </c>
      <c r="E5">
        <v>0.7</v>
      </c>
      <c r="F5">
        <v>0.72</v>
      </c>
      <c r="G5">
        <v>0.72</v>
      </c>
      <c r="H5">
        <v>0.74</v>
      </c>
      <c r="I5">
        <v>0.74</v>
      </c>
      <c r="J5">
        <v>0.74</v>
      </c>
      <c r="K5">
        <v>0.74</v>
      </c>
    </row>
    <row r="6" spans="1:11" x14ac:dyDescent="0.25">
      <c r="A6" t="s">
        <v>9</v>
      </c>
      <c r="B6">
        <v>1</v>
      </c>
      <c r="D6">
        <v>1.01</v>
      </c>
      <c r="F6">
        <v>0.88</v>
      </c>
      <c r="H6">
        <v>1</v>
      </c>
      <c r="J6">
        <v>1.04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H17" sqref="H17"/>
    </sheetView>
  </sheetViews>
  <sheetFormatPr defaultRowHeight="15" x14ac:dyDescent="0.25"/>
  <sheetData>
    <row r="1" spans="1:11" x14ac:dyDescent="0.25">
      <c r="B1" s="1">
        <v>1940</v>
      </c>
      <c r="C1" s="1"/>
      <c r="D1" s="1">
        <v>1950</v>
      </c>
      <c r="E1" s="1"/>
      <c r="F1" s="1">
        <v>1960</v>
      </c>
      <c r="G1" s="1"/>
      <c r="H1" s="1">
        <v>1970</v>
      </c>
      <c r="I1" s="1"/>
      <c r="J1">
        <v>1980</v>
      </c>
    </row>
    <row r="2" spans="1:11" x14ac:dyDescent="0.25"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</row>
    <row r="3" spans="1:11" x14ac:dyDescent="0.25">
      <c r="A3" t="s">
        <v>10</v>
      </c>
      <c r="B3">
        <v>4.3590884743051478E-2</v>
      </c>
      <c r="C3">
        <v>4.5903317835058674E-2</v>
      </c>
      <c r="D3">
        <v>3.5299826220056472E-2</v>
      </c>
      <c r="E3">
        <v>3.5745635964802361E-2</v>
      </c>
      <c r="F3">
        <v>3.1379270650381465E-2</v>
      </c>
      <c r="G3">
        <v>2.9235185765594883E-2</v>
      </c>
      <c r="H3">
        <v>3.3736602393365046E-2</v>
      </c>
      <c r="I3">
        <v>3.355113885310268E-2</v>
      </c>
      <c r="J3">
        <v>3.342988696090593E-2</v>
      </c>
      <c r="K3">
        <v>3.4251961896232565E-2</v>
      </c>
    </row>
    <row r="4" spans="1:11" x14ac:dyDescent="0.25">
      <c r="A4" t="s">
        <v>11</v>
      </c>
      <c r="B4">
        <v>2.5758607346506698E-2</v>
      </c>
      <c r="C4">
        <v>3.5147526603660981E-2</v>
      </c>
      <c r="D4">
        <v>1.7699160119832059E-2</v>
      </c>
      <c r="E4">
        <v>2.5134016697588298E-2</v>
      </c>
      <c r="F4">
        <v>1.3748894589672206E-2</v>
      </c>
      <c r="G4">
        <v>1.8453878984522856E-2</v>
      </c>
      <c r="H4">
        <v>1.5899278679794498E-2</v>
      </c>
      <c r="I4">
        <v>2.2729977446979428E-2</v>
      </c>
      <c r="J4">
        <v>1.5799560874826618E-2</v>
      </c>
      <c r="K4">
        <v>2.3594013278469165E-2</v>
      </c>
    </row>
    <row r="5" spans="1:11" x14ac:dyDescent="0.25">
      <c r="A5" t="s">
        <v>14</v>
      </c>
      <c r="B5">
        <v>0.24590303256847656</v>
      </c>
      <c r="C5">
        <v>0.2250607302411349</v>
      </c>
      <c r="D5">
        <v>0.28540116357486472</v>
      </c>
      <c r="E5">
        <v>0.26163929122541246</v>
      </c>
      <c r="F5">
        <v>0.32174850621891005</v>
      </c>
      <c r="G5">
        <v>0.29886452694965226</v>
      </c>
      <c r="H5">
        <v>0.29898845705526761</v>
      </c>
      <c r="I5">
        <v>0.27594550030301351</v>
      </c>
      <c r="J5">
        <v>0.29651268026238553</v>
      </c>
      <c r="K5">
        <v>0.27169892724166433</v>
      </c>
    </row>
    <row r="6" spans="1:11" x14ac:dyDescent="0.25">
      <c r="A6" t="s">
        <v>16</v>
      </c>
      <c r="B6">
        <v>0.49360903756911012</v>
      </c>
      <c r="C6">
        <v>0.51090009568518813</v>
      </c>
      <c r="D6">
        <v>0.57041724196624377</v>
      </c>
      <c r="E6">
        <v>0.58644294954808562</v>
      </c>
      <c r="F6">
        <v>0.65882605379157111</v>
      </c>
      <c r="G6">
        <v>0.68577398988056715</v>
      </c>
      <c r="H6">
        <v>0.5919012467224809</v>
      </c>
      <c r="I6">
        <v>0.61146393788498488</v>
      </c>
      <c r="J6">
        <v>0.58176222734571192</v>
      </c>
      <c r="K6">
        <v>0.59528920054165491</v>
      </c>
    </row>
    <row r="8" spans="1:11" x14ac:dyDescent="0.25">
      <c r="A8" t="s">
        <v>15</v>
      </c>
      <c r="B8" s="2">
        <v>1940</v>
      </c>
      <c r="C8" s="2">
        <v>1950</v>
      </c>
      <c r="D8" s="2">
        <v>1960</v>
      </c>
      <c r="E8" s="2">
        <v>1970</v>
      </c>
      <c r="F8" s="2">
        <v>1980</v>
      </c>
      <c r="G8" s="2"/>
      <c r="H8" s="2"/>
      <c r="I8" s="2"/>
    </row>
    <row r="9" spans="1:11" x14ac:dyDescent="0.25">
      <c r="A9" t="s">
        <v>10</v>
      </c>
      <c r="B9">
        <f>(B3-C3)</f>
        <v>-2.3124330920071962E-3</v>
      </c>
      <c r="C9">
        <f>(D3-E3)</f>
        <v>-4.4580974474588836E-4</v>
      </c>
      <c r="D9">
        <f>(F3-G3)</f>
        <v>2.1440848847865818E-3</v>
      </c>
      <c r="E9">
        <f>(H3-I3)</f>
        <v>1.8546354026236639E-4</v>
      </c>
      <c r="F9">
        <f>(J3-K3)</f>
        <v>-8.2207493532663461E-4</v>
      </c>
    </row>
    <row r="10" spans="1:11" x14ac:dyDescent="0.25">
      <c r="A10" t="s">
        <v>11</v>
      </c>
      <c r="B10">
        <f>(B4-C4)</f>
        <v>-9.388919257154283E-3</v>
      </c>
      <c r="C10">
        <f>(D4-E4)</f>
        <v>-7.4348565777562388E-3</v>
      </c>
      <c r="D10">
        <f>(F4-G4)</f>
        <v>-4.7049843948506493E-3</v>
      </c>
      <c r="E10">
        <f>(H4-I4)</f>
        <v>-6.8306987671849298E-3</v>
      </c>
      <c r="F10">
        <f>(J4-K4)</f>
        <v>-7.7944524036425468E-3</v>
      </c>
    </row>
    <row r="11" spans="1:11" x14ac:dyDescent="0.25">
      <c r="A11" t="s">
        <v>14</v>
      </c>
      <c r="B11">
        <f>(B5-C5)</f>
        <v>2.0842302327341661E-2</v>
      </c>
      <c r="C11">
        <f>(D5-E5)</f>
        <v>2.3761872349452262E-2</v>
      </c>
      <c r="D11">
        <f>(F5-G5)</f>
        <v>2.2883979269257781E-2</v>
      </c>
      <c r="E11">
        <f>(H5-I5)</f>
        <v>2.3042956752254096E-2</v>
      </c>
      <c r="F11">
        <f>(J5-K5)</f>
        <v>2.4813753020721196E-2</v>
      </c>
    </row>
    <row r="12" spans="1:11" x14ac:dyDescent="0.25">
      <c r="A12" t="s">
        <v>16</v>
      </c>
      <c r="B12">
        <f>(B6-C6)</f>
        <v>-1.7291058116078006E-2</v>
      </c>
      <c r="C12">
        <f t="shared" ref="C12:F12" si="0">(C6-D6)</f>
        <v>-5.9517146281055644E-2</v>
      </c>
      <c r="D12">
        <f t="shared" si="0"/>
        <v>-1.6025707581841853E-2</v>
      </c>
      <c r="E12">
        <f t="shared" si="0"/>
        <v>-7.2383104243485485E-2</v>
      </c>
      <c r="F12">
        <f t="shared" si="0"/>
        <v>-2.6947936088996038E-2</v>
      </c>
    </row>
    <row r="14" spans="1:11" x14ac:dyDescent="0.25">
      <c r="A14" t="s">
        <v>15</v>
      </c>
      <c r="B14" s="2">
        <v>1940</v>
      </c>
      <c r="C14" s="2">
        <v>1950</v>
      </c>
      <c r="D14" s="2">
        <v>1960</v>
      </c>
      <c r="E14" s="2">
        <v>1970</v>
      </c>
      <c r="F14" s="2">
        <v>1980</v>
      </c>
    </row>
    <row r="15" spans="1:11" x14ac:dyDescent="0.25">
      <c r="A15" t="s">
        <v>10</v>
      </c>
      <c r="B15">
        <f>B9/C3</f>
        <v>-5.0376164535999503E-2</v>
      </c>
      <c r="C15">
        <f>C9/E3</f>
        <v>-1.247172508512266E-2</v>
      </c>
      <c r="D15">
        <f>D9/G3</f>
        <v>7.3339191410571616E-2</v>
      </c>
      <c r="E15">
        <f>E9/I3</f>
        <v>5.5277867339878816E-3</v>
      </c>
      <c r="F15">
        <f>F9/K3</f>
        <v>-2.4000813086769671E-2</v>
      </c>
    </row>
    <row r="16" spans="1:11" x14ac:dyDescent="0.25">
      <c r="A16" t="s">
        <v>11</v>
      </c>
      <c r="B16">
        <f t="shared" ref="B16:F18" si="1">B10/C4</f>
        <v>-0.26712887546904451</v>
      </c>
      <c r="C16">
        <f t="shared" ref="C16:C17" si="2">C10/E4</f>
        <v>-0.29580853180819444</v>
      </c>
      <c r="D16">
        <f t="shared" ref="D16:D17" si="3">D10/G4</f>
        <v>-0.2549591009454808</v>
      </c>
      <c r="E16">
        <f t="shared" ref="E16:E17" si="4">E10/I4</f>
        <v>-0.30051498216918193</v>
      </c>
      <c r="F16">
        <f t="shared" ref="F16:F17" si="5">F10/K4</f>
        <v>-0.33035721018074587</v>
      </c>
    </row>
    <row r="17" spans="1:6" x14ac:dyDescent="0.25">
      <c r="A17" t="s">
        <v>14</v>
      </c>
      <c r="B17">
        <f t="shared" si="1"/>
        <v>9.2607458906806037E-2</v>
      </c>
      <c r="C17">
        <f t="shared" si="2"/>
        <v>9.0819204707982798E-2</v>
      </c>
      <c r="D17">
        <f t="shared" si="3"/>
        <v>7.6569740486842369E-2</v>
      </c>
      <c r="E17">
        <f t="shared" si="4"/>
        <v>8.3505462951745227E-2</v>
      </c>
      <c r="F17">
        <f t="shared" si="5"/>
        <v>9.1328122906611423E-2</v>
      </c>
    </row>
    <row r="18" spans="1:6" x14ac:dyDescent="0.25">
      <c r="A18" t="s">
        <v>16</v>
      </c>
      <c r="B18">
        <f t="shared" si="1"/>
        <v>-3.3844303929691559E-2</v>
      </c>
      <c r="C18">
        <f t="shared" si="1"/>
        <v>-0.10433966910940212</v>
      </c>
      <c r="D18">
        <f t="shared" si="1"/>
        <v>-2.7326967771018992E-2</v>
      </c>
      <c r="E18">
        <f t="shared" si="1"/>
        <v>-0.10986679082728701</v>
      </c>
      <c r="F18">
        <f t="shared" si="1"/>
        <v>-3.9295652046659323E-2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Careers</vt:lpstr>
      <vt:lpstr>Targets</vt:lpstr>
      <vt:lpstr>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Michaud, Amanda</dc:creator>
  <cp:lastModifiedBy>Michaud, Amanda</cp:lastModifiedBy>
  <dcterms:created xsi:type="dcterms:W3CDTF">2022-12-08T16:47:17Z</dcterms:created>
  <dcterms:modified xsi:type="dcterms:W3CDTF">2022-12-08T22:40:03Z</dcterms:modified>
</cp:coreProperties>
</file>